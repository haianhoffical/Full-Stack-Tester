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I ANH\Downloads\"/>
    </mc:Choice>
  </mc:AlternateContent>
  <xr:revisionPtr revIDLastSave="0" documentId="13_ncr:1_{D6A47934-E081-4576-88C2-749760BF1076}" xr6:coauthVersionLast="47" xr6:coauthVersionMax="47" xr10:uidLastSave="{00000000-0000-0000-0000-000000000000}"/>
  <bookViews>
    <workbookView xWindow="-113" yWindow="-113" windowWidth="24267" windowHeight="13023" tabRatio="500" xr2:uid="{00000000-000D-0000-FFFF-FFFF00000000}"/>
  </bookViews>
  <sheets>
    <sheet name="Giới thiệu" sheetId="1" r:id="rId1"/>
    <sheet name="Test Case" sheetId="2" r:id="rId2"/>
    <sheet name="Tổng hợp" sheetId="3" r:id="rId3"/>
  </sheets>
  <definedNames>
    <definedName name="_xlnm._FilterDatabase" localSheetId="1" hidden="1">'Test Case'!$A$1:$H$58</definedName>
    <definedName name="_xlnm.Print_Titles" localSheetId="1">'Test Case'!$1:$1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9" i="3" l="1"/>
  <c r="B18" i="3"/>
  <c r="B17" i="3"/>
  <c r="B16" i="3"/>
  <c r="B15" i="3"/>
  <c r="B14" i="3"/>
  <c r="B13" i="3"/>
  <c r="B8" i="3"/>
  <c r="B7" i="3"/>
  <c r="B6" i="3"/>
  <c r="B5" i="3"/>
  <c r="B9" i="3" s="1"/>
  <c r="B20" i="3" l="1"/>
</calcChain>
</file>

<file path=xl/sharedStrings.xml><?xml version="1.0" encoding="utf-8"?>
<sst xmlns="http://schemas.openxmlformats.org/spreadsheetml/2006/main" count="432" uniqueCount="293">
  <si>
    <t>BỘ TEST CASE - HỆ THỐNG WEB (Node.js + Express, MySQL, bcrypt+JWT, Momo/ZaloPay)</t>
  </si>
  <si>
    <t>Công nghệ hệ thống được kiểm thử: HTML, CSS, JavaScript, Node.js + Express.js, MySQL, bcrypt + JWT (xác thực), API Momo + API ZaloPay (thanh toán), cors, dotenv, uuid, UI/UX thiết kế trên Figma.</t>
  </si>
  <si>
    <t>Tổng số: 57 test case (đạt yêu cầu 50+).</t>
  </si>
  <si>
    <t>Xem số liệu tổng hợp tại sheet "Tổng hợp".</t>
  </si>
  <si>
    <t>STT</t>
  </si>
  <si>
    <t>Test Case ID</t>
  </si>
  <si>
    <t>Chức năng / Màn hình</t>
  </si>
  <si>
    <t>Test Viewpoint</t>
  </si>
  <si>
    <t>Điều kiện tiên quyết (Precondition)</t>
  </si>
  <si>
    <t>Các bước thực hiện (Test Steps)</t>
  </si>
  <si>
    <t>Dữ liệu kiểm thử</t>
  </si>
  <si>
    <t>Kết quả mong đợi (Expected Result)</t>
  </si>
  <si>
    <t>TC_AUTH_001</t>
  </si>
  <si>
    <t>Đăng ký / Đăng nhập</t>
  </si>
  <si>
    <t>Functional</t>
  </si>
  <si>
    <t>Trang đăng ký đang mở, chưa có tài khoản trùng email.</t>
  </si>
  <si>
    <t>1. Nhập họ tên, email hợp lệ, mật khẩu đạt chuẩn.
2. Nhấn "Đăng ký".</t>
  </si>
  <si>
    <t>email: sv001@gmail.com; password: Abc@12345</t>
  </si>
  <si>
    <t>Hệ thống tạo tài khoản mới, lưu mật khẩu đã băm bằng bcrypt vào MySQL, trả về mã 201 và chuyển hướng đến trang đăng nhập kèm thông báo "Đăng ký thành công!".</t>
  </si>
  <si>
    <t>TC_AUTH_002</t>
  </si>
  <si>
    <t>Tài khoản vừa đăng ký ở TC_AUTH_001.</t>
  </si>
  <si>
    <t>1. Truy vấn trực tiếp bảng users trong MySQL.
2. Kiểm tra giá trị cột password.</t>
  </si>
  <si>
    <t>email: sv001@gmail.com</t>
  </si>
  <si>
    <t>Giá trị lưu là chuỗi hash bcrypt (bắt đầu bằng $2b$...), không lưu mật khẩu dạng plain text.</t>
  </si>
  <si>
    <t>TC_AUTH_003</t>
  </si>
  <si>
    <t>Tài khoản đã tồn tại và đã kích hoạt.</t>
  </si>
  <si>
    <t>1. Nhập đúng email/mật khẩu.
2. Nhấn "Đăng nhập".</t>
  </si>
  <si>
    <t>Đăng nhập thành công, API trả về accessToken (JWT) và thông tin người dùng, mã phản hồi 200; JWT được lưu ở client (cookie HttpOnly hoặc localStorage tùy thiết kế).</t>
  </si>
  <si>
    <t>TC_AUTH_004</t>
  </si>
  <si>
    <t>Đã đăng nhập thành công, có JWT hợp lệ.</t>
  </si>
  <si>
    <t>1. Giải mã JWT vừa nhận (jwt.io hoặc code).
2. Kiểm tra các trường trong payload.</t>
  </si>
  <si>
    <t>JWT vừa cấp</t>
  </si>
  <si>
    <t>Payload chứa đúng userId, email/role và trường exp (thời gian hết hạn) đúng theo cấu hình (ví dụ 1h/7 ngày cho refresh token).</t>
  </si>
  <si>
    <t>TC_AUTH_005</t>
  </si>
  <si>
    <t>Người dùng đang đăng nhập.</t>
  </si>
  <si>
    <t>1. Nhấn "Đăng xuất".</t>
  </si>
  <si>
    <t>—</t>
  </si>
  <si>
    <t>Token phía client bị xóa (cookie/localStorage), request tiếp theo tới API yêu cầu xác thực trả về 401 Unauthorized.</t>
  </si>
  <si>
    <t>TC_AUTH_006</t>
  </si>
  <si>
    <t>Validation</t>
  </si>
  <si>
    <t>Trang đăng ký đang mở.</t>
  </si>
  <si>
    <t>1. Nhập email sai định dạng (không có @).
2. Nhấn "Đăng ký".</t>
  </si>
  <si>
    <t>email: sv001gmail.com</t>
  </si>
  <si>
    <t>Form hiển thị lỗi ngay dưới ô email: "Email không đúng định dạng."; không gửi request lên server.</t>
  </si>
  <si>
    <t>TC_AUTH_007</t>
  </si>
  <si>
    <t>1. Nhập mật khẩu không đủ độ phức tạp (chỉ chữ thường, không số/ký tự đặc biệt).
2. Nhấn "Đăng ký".</t>
  </si>
  <si>
    <t>password: abcdefgh</t>
  </si>
  <si>
    <t>Hiển thị lỗi: "Mật khẩu phải có tối thiểu 8 ký tự, gồm chữ hoa, chữ thường và số."; không tạo tài khoản.</t>
  </si>
  <si>
    <t>TC_AUTH_008</t>
  </si>
  <si>
    <t>1. Để trống trường họ tên.
2. Nhấn "Đăng ký".</t>
  </si>
  <si>
    <t>họ tên: (trống)</t>
  </si>
  <si>
    <t>Hiển thị lỗi: "Vui lòng nhập họ tên." ngay dưới trường tương ứng; không gửi request.</t>
  </si>
  <si>
    <t>TC_AUTH_009</t>
  </si>
  <si>
    <t>Email sv001@gmail.com đã có trong hệ thống.</t>
  </si>
  <si>
    <t>1. Đăng ký lại với cùng email.
2. Nhấn "Đăng ký".</t>
  </si>
  <si>
    <t>email: sv001@gmail.com (đã tồn tại)</t>
  </si>
  <si>
    <t>API trả về mã 409 Conflict, giao diện hiển thị: "Email đã được sử dụng.".</t>
  </si>
  <si>
    <t>TC_AUTH_010</t>
  </si>
  <si>
    <t>Boundary</t>
  </si>
  <si>
    <t>1. Nhập mật khẩu đúng 8 ký tự (độ dài tối thiểu quy định) và hợp lệ về định dạng.
2. Nhấn "Đăng ký".</t>
  </si>
  <si>
    <t>password: Abc@1234 (8 ký tự)</t>
  </si>
  <si>
    <t>Đăng ký thành công, hệ thống chấp nhận vì đạt đúng ngưỡng tối thiểu.</t>
  </si>
  <si>
    <t>TC_AUTH_011</t>
  </si>
  <si>
    <t>1. Nhập mật khẩu 7 ký tự (dưới ngưỡng tối thiểu 1 đơn vị).
2. Nhấn "Đăng ký".</t>
  </si>
  <si>
    <t>password: Abc@123 (7 ký tự)</t>
  </si>
  <si>
    <t>Hiển thị lỗi: "Mật khẩu phải có tối thiểu 8 ký tự."; không tạo tài khoản.</t>
  </si>
  <si>
    <t>TC_AUTH_012</t>
  </si>
  <si>
    <t>Negative</t>
  </si>
  <si>
    <t>Tài khoản tồn tại, cấu hình khóa sau 5 lần sai.</t>
  </si>
  <si>
    <t>1. Nhập sai mật khẩu 5 lần liên tiếp cho cùng 1 email.
2. Thử đăng nhập lần thứ 6 với mật khẩu đúng.</t>
  </si>
  <si>
    <t>password sai x5, sau đó password đúng</t>
  </si>
  <si>
    <t>Từ lần thứ 6, hệ thống trả về: "Tài khoản tạm khóa do đăng nhập sai quá nhiều lần. Vui lòng thử lại sau 15 phút.", kể cả khi nhập đúng mật khẩu.</t>
  </si>
  <si>
    <t>TC_AUTH_013</t>
  </si>
  <si>
    <t>Có JWT đã hết hạn (exp &lt; thời gian hiện tại).</t>
  </si>
  <si>
    <t>1. Gọi API cần xác thực (ví dụ GET /api/profile) kèm JWT hết hạn trong header Authorization.</t>
  </si>
  <si>
    <t>JWT hết hạn</t>
  </si>
  <si>
    <t>API trả về 401 Unauthorized với thông báo "jwt expired" hoặc "Phiên đăng nhập đã hết hạn, vui lòng đăng nhập lại.".</t>
  </si>
  <si>
    <t>TC_AUTH_014</t>
  </si>
  <si>
    <t>Có JWT hợp lệ.</t>
  </si>
  <si>
    <t>1. Chỉnh sửa 1 ký tự bất kỳ trong phần chữ ký (signature) của JWT.
2. Gọi API cần xác thực với token đã sửa.</t>
  </si>
  <si>
    <t>JWT bị chỉnh sửa signature</t>
  </si>
  <si>
    <t>Middleware xác thực JWT (jwt.verify) báo lỗi "invalid signature", API trả về 401 Unauthorized, không cho truy cập tài nguyên.</t>
  </si>
  <si>
    <t>TC_AUTH_015</t>
  </si>
  <si>
    <t>Trang đăng nhập đang mở.</t>
  </si>
  <si>
    <t>1. Nhập vào ô email chuỗi: ' OR '1'='1
2. Nhấn "Đăng nhập".</t>
  </si>
  <si>
    <t>email: ' OR '1'='1</t>
  </si>
  <si>
    <t>Hệ thống không đăng nhập được (do dùng parameterized query/ORM), trả về lỗi đăng nhập thông thường "Email hoặc mật khẩu không đúng.", không lộ lỗi SQL, không có truy cập trái phép.</t>
  </si>
  <si>
    <t>TC_AUTH_016</t>
  </si>
  <si>
    <t>Connection</t>
  </si>
  <si>
    <t>Ngắt kết nối MySQL (dừng service DB ở môi trường test).</t>
  </si>
  <si>
    <t>1. Thực hiện đăng ký tài khoản mới trong lúc DB không phản hồi.</t>
  </si>
  <si>
    <t>API trả về mã 500 kèm thông báo thân thiện "Hệ thống đang bảo trì, vui lòng thử lại sau." (không hiển thị stack trace/lỗi kỹ thuật ra giao diện).</t>
  </si>
  <si>
    <t>TC_AUTH_017</t>
  </si>
  <si>
    <t>Session</t>
  </si>
  <si>
    <t>Tài khoản đã đăng nhập trên Thiết bị A.</t>
  </si>
  <si>
    <t>1. Đăng nhập cùng tài khoản trên Thiết bị B.
2. Kiểm tra trạng thái phiên trên Thiết bị A.</t>
  </si>
  <si>
    <t>cùng 1 tài khoản, 2 thiết bị</t>
  </si>
  <si>
    <t>Theo thiết kế hệ thống: hoặc cho phép cả 2 phiên cùng hoạt động (multi-session), hoặc Thiết bị A bị đăng xuất tự động — kết quả thực tế phải khớp với thiết kế đã chọn và được ghi nhận rõ ràng, không có trạng thái treo/không xác định.</t>
  </si>
  <si>
    <t>TC_PWD_001</t>
  </si>
  <si>
    <t>Đổi mật khẩu</t>
  </si>
  <si>
    <t>Đã đăng nhập, đang ở màn hình Đổi mật khẩu.</t>
  </si>
  <si>
    <t>1. Nhập đúng mật khẩu hiện tại.
2. Nhập mật khẩu mới hợp lệ.
3. Nhập xác nhận mật khẩu mới trùng khớp.
4. Nhấn "Xác nhận".</t>
  </si>
  <si>
    <t>mật khẩu cũ: Abc@12345; mới: Xyz@98765</t>
  </si>
  <si>
    <t>Hiển thị "Đổi mật khẩu thành công!", mật khẩu mới (đã băm bcrypt) được cập nhật trong MySQL.</t>
  </si>
  <si>
    <t>TC_PWD_002</t>
  </si>
  <si>
    <t>Vừa đổi mật khẩu thành công ở TC_PWD_001, JWT cũ vẫn còn hạn.</t>
  </si>
  <si>
    <t>1. Dùng JWT được cấp trước khi đổi mật khẩu để gọi API bất kỳ cần xác thực.</t>
  </si>
  <si>
    <t>JWT cũ (trước khi đổi mật khẩu)</t>
  </si>
  <si>
    <t>API trả về 401 Unauthorized, buộc người dùng đăng nhập lại bằng mật khẩu mới (token cũ bị vô hiệu hóa/blacklist).</t>
  </si>
  <si>
    <t>TC_PWD_003</t>
  </si>
  <si>
    <t>Đang ở màn hình Đổi mật khẩu.</t>
  </si>
  <si>
    <t>1. Nhập sai mật khẩu hiện tại.
2. Nhấn "Xác nhận".</t>
  </si>
  <si>
    <t>mật khẩu cũ nhập sai</t>
  </si>
  <si>
    <t>Hiển thị lỗi: "Mật khẩu hiện tại không đúng."; không cập nhật mật khẩu.</t>
  </si>
  <si>
    <t>TC_PWD_004</t>
  </si>
  <si>
    <t>1. Nhập mật khẩu mới giống hệt mật khẩu cũ.
2. Nhấn "Xác nhận".</t>
  </si>
  <si>
    <t>mới = cũ = Abc@12345</t>
  </si>
  <si>
    <t>Hiển thị lỗi: "Mật khẩu mới phải khác mật khẩu hiện tại."; không cập nhật.</t>
  </si>
  <si>
    <t>TC_PWD_005</t>
  </si>
  <si>
    <t>1. Nhập mật khẩu mới và ô xác nhận khác nhau.
2. Nhấn "Xác nhận".</t>
  </si>
  <si>
    <t>mới: Xyz@98765; xác nhận: Xyz@98766</t>
  </si>
  <si>
    <t>Hiển thị lỗi: "Xác nhận mật khẩu không khớp."; không gửi request lên server.</t>
  </si>
  <si>
    <t>TC_PWD_006</t>
  </si>
  <si>
    <t>1. Nhập mật khẩu mới chỉ toàn chữ số.
2. Nhấn "Xác nhận".</t>
  </si>
  <si>
    <t>mới: 12345678</t>
  </si>
  <si>
    <t>Hiển thị lỗi: "Mật khẩu phải gồm chữ hoa, chữ thường và số."; không cập nhật.</t>
  </si>
  <si>
    <t>TC_PWD_007</t>
  </si>
  <si>
    <t>1. Nhập mật khẩu mới đúng độ dài tối đa cho phép (ví dụ 32 ký tự).</t>
  </si>
  <si>
    <t>mật khẩu 32 ký tự hợp lệ</t>
  </si>
  <si>
    <t>Hệ thống chấp nhận, đổi mật khẩu thành công.</t>
  </si>
  <si>
    <t>TC_PWD_008</t>
  </si>
  <si>
    <t>1. Nhập mật khẩu mới vượt quá độ dài tối đa 1 ký tự (ví dụ 33 ký tự).</t>
  </si>
  <si>
    <t>mật khẩu 33 ký tự</t>
  </si>
  <si>
    <t>Hiển thị lỗi: "Mật khẩu không được vượt quá 32 ký tự."; không cập nhật.</t>
  </si>
  <si>
    <t>TC_PWD_009</t>
  </si>
  <si>
    <t>Không có/đã hết hạn JWT.</t>
  </si>
  <si>
    <t>1. Gọi thẳng API POST /api/change-password không kèm Authorization header (ví dụ qua Postman).</t>
  </si>
  <si>
    <t>không có token</t>
  </si>
  <si>
    <t>API trả về 401 Unauthorized: "Bạn cần đăng nhập để thực hiện thao tác này.".</t>
  </si>
  <si>
    <t>TC_PWD_010</t>
  </si>
  <si>
    <t>1. Nhập mật khẩu mới ở ô "Mật khẩu mới".
2. Copy (Ctrl+C) rồi dán (Ctrl+V) vào ô "Xác nhận mật khẩu" thay vì gõ tay.</t>
  </si>
  <si>
    <t>copy-paste mật khẩu</t>
  </si>
  <si>
    <t>Ô xác nhận nhận đúng giá trị đã dán, hệ thống xử lý như nhập tay bình thường, không phát sinh lỗi khoảng trắng/ký tự ẩn.</t>
  </si>
  <si>
    <t>TC_PWD_011</t>
  </si>
  <si>
    <t>Đang ở màn hình Đổi mật khẩu, đã gõ dữ liệu vào các ô.</t>
  </si>
  <si>
    <t>1. Nhấn Ctrl+A trong ô mật khẩu mới để chọn toàn bộ.
2. Nhấn Delete/Backspace để xóa nhanh.
3. Nhấn "Xác nhận" khi ô đang trống.</t>
  </si>
  <si>
    <t>Ô bị xóa sạch, hệ thống coi là trường trống và hiển thị lỗi "Vui lòng nhập mật khẩu mới.", không bị treo giao diện hay lỗi JavaScript.</t>
  </si>
  <si>
    <t>TC_PWD_012</t>
  </si>
  <si>
    <t>Đang submit form đổi mật khẩu.</t>
  </si>
  <si>
    <t>1. Ngắt kết nối mạng ngay sau khi nhấn "Xác nhận" (trước khi có phản hồi).</t>
  </si>
  <si>
    <t>Giao diện hiển thị thông báo lỗi kết nối ("Không thể kết nối máy chủ, vui lòng thử lại."), mật khẩu trong CSDL không bị thay đổi một phần (toàn vẹn dữ liệu).</t>
  </si>
  <si>
    <t>TC_PWD_013</t>
  </si>
  <si>
    <t>Cùng tài khoản đang đăng nhập ở Thiết bị A và Thiết bị B.</t>
  </si>
  <si>
    <t>1. Đổi mật khẩu thành công trên Thiết bị A.
2. Thực hiện một thao tác cần xác thực trên Thiết bị B.</t>
  </si>
  <si>
    <t>Thiết bị B bị từ chối truy cập (401) và được yêu cầu đăng nhập lại bằng mật khẩu mới.</t>
  </si>
  <si>
    <t>TC_PAY_001</t>
  </si>
  <si>
    <t>Thanh toán Momo/ZaloPay</t>
  </si>
  <si>
    <t>Đơn hàng ở trạng thái "Chờ thanh toán", chọn phương thức Momo.</t>
  </si>
  <si>
    <t>1. Nhấn "Thanh toán với Momo".
2. Hoàn tất thanh toán trên trang Momo (sandbox).
3. Quay lại hệ thống.</t>
  </si>
  <si>
    <t>đơn hàng 200.000đ</t>
  </si>
  <si>
    <t>Đơn hàng chuyển trạng thái "Đã thanh toán", hiển thị trang xác nhận thành công kèm mã giao dịch Momo.</t>
  </si>
  <si>
    <t>TC_PAY_002</t>
  </si>
  <si>
    <t>Đơn hàng ở trạng thái "Chờ thanh toán", chọn phương thức ZaloPay.</t>
  </si>
  <si>
    <t>1. Nhấn "Thanh toán với ZaloPay".
2. Hoàn tất thanh toán trên trang ZaloPay (sandbox).
3. Quay lại hệ thống.</t>
  </si>
  <si>
    <t>đơn hàng 350.000đ</t>
  </si>
  <si>
    <t>Đơn hàng chuyển trạng thái "Đã thanh toán", hiển thị mã giao dịch ZaloPay tương ứng.</t>
  </si>
  <si>
    <t>TC_PAY_003</t>
  </si>
  <si>
    <t>Giao dịch Momo đã được xử lý ở phía Momo.</t>
  </si>
  <si>
    <t>1. Momo gửi webhook (IPN) về endpoint /api/payment/momo/callback.
2. Kiểm tra trạng thái đơn hàng trong hệ thống.</t>
  </si>
  <si>
    <t>payload callback hợp lệ, resultCode=0</t>
  </si>
  <si>
    <t>Server xử lý webhook, cập nhật đơn hàng thành "Đã thanh toán" và phản hồi Momo mã 204/200 theo đúng chuẩn API Momo.</t>
  </si>
  <si>
    <t>TC_PAY_004</t>
  </si>
  <si>
    <t>Giao dịch ZaloPay đã được xử lý ở phía ZaloPay.</t>
  </si>
  <si>
    <t>1. ZaloPay gửi callback về endpoint tương ứng.
2. Kiểm tra trạng thái đơn hàng.</t>
  </si>
  <si>
    <t>payload callback hợp lệ, return_code=1</t>
  </si>
  <si>
    <t>Đơn hàng cập nhật "Đã thanh toán", server phản hồi đúng định dạng ZaloPay yêu cầu (return_code=1).</t>
  </si>
  <si>
    <t>TC_PAY_005</t>
  </si>
  <si>
    <t>Thanh toán vừa hoàn tất thành công.</t>
  </si>
  <si>
    <t>1. Kiểm tra hộp thư/thông báo trong ứng dụng của người mua.</t>
  </si>
  <si>
    <t>Người dùng nhận được thông báo/email xác nhận thanh toán trong vòng vài giây đến 1 phút, nội dung đúng mã đơn hàng và số tiền.</t>
  </si>
  <si>
    <t>TC_PAY_006</t>
  </si>
  <si>
    <t>Có endpoint callback Momo.</t>
  </si>
  <si>
    <t>1. Gửi request giả tới endpoint callback Momo với chữ ký (signature) sai.</t>
  </si>
  <si>
    <t>signature không hợp lệ</t>
  </si>
  <si>
    <t>Server từ chối xử lý, trả về lỗi xác thực chữ ký, KHÔNG cập nhật trạng thái đơn hàng thành đã thanh toán.</t>
  </si>
  <si>
    <t>TC_PAY_007</t>
  </si>
  <si>
    <t>Có endpoint callback ZaloPay.</t>
  </si>
  <si>
    <t>1. Gửi request giả tới endpoint callback ZaloPay với mac (checksum) sai.</t>
  </si>
  <si>
    <t>mac không hợp lệ</t>
  </si>
  <si>
    <t>Server từ chối xử lý, trả về return_code=-1 (theo chuẩn ZaloPay), không cập nhật đơn hàng.</t>
  </si>
  <si>
    <t>TC_PAY_008</t>
  </si>
  <si>
    <t>Đang ở trang thanh toán.</t>
  </si>
  <si>
    <t>1. Can thiệp (dev tools) sửa số tiền thanh toán thành số âm trước khi gửi request tạo giao dịch.</t>
  </si>
  <si>
    <t>amount: -50000</t>
  </si>
  <si>
    <t>Server kiểm tra và từ chối ngay tại backend (không tin dữ liệu từ client), trả về lỗi 400: "Số tiền thanh toán không hợp lệ.".</t>
  </si>
  <si>
    <t>TC_PAY_009</t>
  </si>
  <si>
    <t>Cấu hình số tiền thanh toán tối thiểu là 10.000đ.</t>
  </si>
  <si>
    <t>1. Tạo đơn hàng có tổng tiền đúng 10.000đ.
2. Thanh toán qua Momo.</t>
  </si>
  <si>
    <t>amount: 10000</t>
  </si>
  <si>
    <t>Giao dịch được xử lý bình thường, không bị từ chối vì "quá nhỏ".</t>
  </si>
  <si>
    <t>TC_PAY_010</t>
  </si>
  <si>
    <t>Cấu hình hạn mức giao dịch tối đa theo Momo/ZaloPay (ví dụ 20.000.000đ).</t>
  </si>
  <si>
    <t>1. Tạo đơn hàng đúng bằng hạn mức tối đa.
2. Thực hiện thanh toán.</t>
  </si>
  <si>
    <t>amount: 20000000</t>
  </si>
  <si>
    <t>Giao dịch xử lý thành công; nếu vượt hạn mức tối đa 1 đồng, hệ thống báo lỗi trước khi gọi API cổng thanh toán.</t>
  </si>
  <si>
    <t>TC_PAY_011</t>
  </si>
  <si>
    <t>Đang ở trang thanh toán Momo.</t>
  </si>
  <si>
    <t>1. Nhấn "Hủy giao dịch" trên trang Momo trước khi hoàn tất.
2. Quay lại hệ thống.</t>
  </si>
  <si>
    <t>Đơn hàng vẫn giữ trạng thái "Chờ thanh toán" hoặc chuyển "Đã hủy" tùy thiết kế, không bị đánh dấu nhầm thành "Đã thanh toán".</t>
  </si>
  <si>
    <t>TC_PAY_012</t>
  </si>
  <si>
    <t>API Momo phản hồi chậm/không phản hồi (mô phỏng bằng mock timeout).</t>
  </si>
  <si>
    <t>1. Thực hiện thanh toán trong điều kiện API Momo timeout.</t>
  </si>
  <si>
    <t>timeout giả lập 30s</t>
  </si>
  <si>
    <t>Hệ thống hiển thị: "Không thể kết nối cổng thanh toán, vui lòng thử lại." và cho phép người dùng thử lại, không tạo đơn hàng trùng.</t>
  </si>
  <si>
    <t>TC_PAY_013</t>
  </si>
  <si>
    <t>Đơn hàng đã được xác nhận thanh toán qua callback hợp lệ.</t>
  </si>
  <si>
    <t>1. Gửi lại (replay) đúng callback đó thêm 1 lần nữa tới server.</t>
  </si>
  <si>
    <t>callback trùng lặp</t>
  </si>
  <si>
    <t>Hệ thống nhận diện giao dịch đã xử lý (idempotency key/mã giao dịch), không cộng tiền/không ghi nhận đơn hàng 2 lần.</t>
  </si>
  <si>
    <t>TC_PAY_014</t>
  </si>
  <si>
    <t>Tài khoản Momo test không đủ số dư.</t>
  </si>
  <si>
    <t>1. Thực hiện thanh toán bằng tài khoản Momo không đủ tiền.</t>
  </si>
  <si>
    <t>Momo trả về giao dịch thất bại, hệ thống hiển thị: "Giao dịch không thành công, vui lòng kiểm tra số dư hoặc thử phương thức khác.", đơn hàng giữ trạng thái chưa thanh toán.</t>
  </si>
  <si>
    <t>TC_PAY_015</t>
  </si>
  <si>
    <t>Đang gọi API tạo giao dịch ZaloPay.</t>
  </si>
  <si>
    <t>1. Ngắt kết nối tới máy chủ ZaloPay ngay sau khi gửi request tạo giao dịch.</t>
  </si>
  <si>
    <t>Hệ thống không đánh dấu đơn hàng "Đã thanh toán" khi chưa có xác nhận chắc chắn; hiển thị trạng thái "Đang xử lý" và có cơ chế đối soát lại sau.</t>
  </si>
  <si>
    <t>TC_PAY_016</t>
  </si>
  <si>
    <t>JWT sắp hết hạn, người dùng đang ở bước chọn phương thức thanh toán.</t>
  </si>
  <si>
    <t>1. Chờ token hết hạn giữa lúc đang ở trang thanh toán.
2. Nhấn "Xác nhận thanh toán".</t>
  </si>
  <si>
    <t>Hệ thống giữ nguyên giỏ hàng/đơn hàng, yêu cầu đăng nhập lại, sau khi đăng nhập lại có thể tiếp tục thanh toán đơn hàng cũ.</t>
  </si>
  <si>
    <t>TC_PAY_017</t>
  </si>
  <si>
    <t>Cùng 1 đơn hàng, đang mở ở 2 tab trình duyệt.</t>
  </si>
  <si>
    <t>1. Ở cả 2 tab, nhấn "Thanh toán" gần như đồng thời.</t>
  </si>
  <si>
    <t>Chỉ 1 giao dịch được tạo/xác nhận cho đơn hàng; tab còn lại nhận thông báo "Đơn hàng đã được thanh toán." thay vì tạo giao dịch thứ hai.</t>
  </si>
  <si>
    <t>TC_PERF_001</t>
  </si>
  <si>
    <t>Hiệu năng &amp; đồng thời</t>
  </si>
  <si>
    <t>Performance</t>
  </si>
  <si>
    <t>Môi trường staging giống production, công cụ JMeter/Artillery/k6 đã cài đặt.</t>
  </si>
  <si>
    <t>1. Giả lập 50 người dùng đăng nhập đồng thời trong 10 giây.
2. Ghi nhận tỷ lệ thành công và thời gian phản hồi.</t>
  </si>
  <si>
    <t>50 virtual users</t>
  </si>
  <si>
    <t>Tỷ lệ đăng nhập thành công ≥ 99%, không có lỗi 500; thời gian phản hồi trung bình nằm trong ngưỡng chấp nhận đã đề ra (ví dụ ≤2s).</t>
  </si>
  <si>
    <t>TC_PERF_002</t>
  </si>
  <si>
    <t>Môi trường staging đã sẵn sàng.</t>
  </si>
  <si>
    <t>1. Giả lập 100 người dùng truy cập trang chủ đồng thời trong 30 giây.</t>
  </si>
  <si>
    <t>100 virtual users</t>
  </si>
  <si>
    <t>Server không trả lỗi 502/503, CPU/RAM server nằm trong ngưỡng an toàn theo giám sát (monitoring).</t>
  </si>
  <si>
    <t>TC_PERF_003</t>
  </si>
  <si>
    <t>Đã có kịch bản tải (load script) cho API đăng nhập.</t>
  </si>
  <si>
    <t>1. Chạy tải tăng dần 10 → 50 → 100 người dùng đồng thời gọi API đăng nhập.
2. Đo thời gian phản hồi p95.</t>
  </si>
  <si>
    <t>10/50/100 concurrent users</t>
  </si>
  <si>
    <t>Thời gian phản hồi p95 không tăng đột biến (&gt;3 lần) khi tải tăng từ 10 lên 100; không có request bị treo quá thời gian timeout cấu hình.</t>
  </si>
  <si>
    <t>TC_PERF_004</t>
  </si>
  <si>
    <t>Email chưa tồn tại trong hệ thống.</t>
  </si>
  <si>
    <t>1. Gửi đồng thời 2 request đăng ký với cùng 1 email tại cùng một thời điểm (race condition).</t>
  </si>
  <si>
    <t>2 request song song, cùng email</t>
  </si>
  <si>
    <t>Chỉ 1 request tạo tài khoản thành công (nhờ ràng buộc UNIQUE trên cột email ở MySQL); request còn lại nhận lỗi 409 Conflict, không tạo 2 bản ghi trùng email.</t>
  </si>
  <si>
    <t>TC_PERF_005</t>
  </si>
  <si>
    <t>Nhiều đơn hàng khác nhau đang chờ thanh toán.</t>
  </si>
  <si>
    <t>1. Giả lập 20 người dùng khác nhau thanh toán 20 đơn hàng khác nhau cùng lúc.</t>
  </si>
  <si>
    <t>20 đơn hàng, 20 user song song</t>
  </si>
  <si>
    <t>Mỗi đơn hàng được cập nhật đúng trạng thái của chính nó, không có hiện tượng ghi đè/nhầm lẫn dữ liệu giữa các đơn hàng.</t>
  </si>
  <si>
    <t>TC_PERF_006</t>
  </si>
  <si>
    <t>Một đơn hàng hợp lệ, đã có callback thanh toán mẫu.</t>
  </si>
  <si>
    <t>1. Gửi đồng thời 5 request callback giống hệt nhau cho cùng 1 đơn hàng trong cùng 1 thời điểm.</t>
  </si>
  <si>
    <t>5 callback song song, cùng mã giao dịch</t>
  </si>
  <si>
    <t>Chỉ 1 lần cập nhật trạng thái/đối soát được ghi nhận (idempotency giữ đúng dưới điều kiện đua — race condition), không cộng tiền hoặc ghi log trùng 5 lần.</t>
  </si>
  <si>
    <t>TC_PERF_007</t>
  </si>
  <si>
    <t>Connection pool MySQL cấu hình giới hạn (ví dụ tối đa 20 connection).</t>
  </si>
  <si>
    <t>1. Tạo tải với số lượng request đồng thời vượt số connection trong pool (ví dụ 50 request cùng lúc cần truy vấn DB).</t>
  </si>
  <si>
    <t>50 request đồng thời</t>
  </si>
  <si>
    <t>Các request vượt quá pool được xếp hàng chờ (queue) và xử lý tuần tự thay vì bị lỗi "too many connections"; không có request nào bị crash server.</t>
  </si>
  <si>
    <t>TC_PERF_008</t>
  </si>
  <si>
    <t>Đã có nhiều JWT hợp lệ của các tài khoản khác nhau.</t>
  </si>
  <si>
    <t>1. Gửi đồng thời 200 request kèm JWT hợp lệ khác nhau tới API cần xác thực trong 5 giây.</t>
  </si>
  <si>
    <t>200 request đồng thời, 200 JWT khác nhau</t>
  </si>
  <si>
    <t>100% request xác thực đúng danh tính tương ứng với từng JWT, không có hiện tượng lẫn phiên (session) giữa các người dùng.</t>
  </si>
  <si>
    <t>TC_PERF_009</t>
  </si>
  <si>
    <t>Rate limiting (nếu có) được cấu hình, ví dụ tối đa 20 request/phút/IP cho API đăng nhập.</t>
  </si>
  <si>
    <t>1. Từ 1 địa chỉ IP, gửi 30 request đăng nhập trong 1 phút.</t>
  </si>
  <si>
    <t>30 request/phút từ 1 IP</t>
  </si>
  <si>
    <t>Từ request thứ 21 trở đi, hệ thống trả về 429 Too Many Requests: "Bạn thao tác quá nhanh, vui lòng thử lại sau.", chặn được tấn công brute-force ở mức cơ bản.</t>
  </si>
  <si>
    <t>TC_PERF_010</t>
  </si>
  <si>
    <t>Vừa kết thúc một đợt tải cao (theo kịch bản TC_PERF_001–002).</t>
  </si>
  <si>
    <t>1. Dừng công cụ giả lập tải.
2. Theo dõi mức sử dụng RAM/CPU và số connection đang mở trong 5 phút tiếp theo.</t>
  </si>
  <si>
    <t>Tài nguyên hệ thống (RAM, CPU, số connection MySQL) trở về mức bình thường như trước khi chạy tải, không có dấu hiệu rò rỉ bộ nhớ (memory leak) hoặc connection bị treo vĩnh viễn.</t>
  </si>
  <si>
    <t>TỔNG HỢP SỐ LƯỢNG TEST CASE</t>
  </si>
  <si>
    <t>Theo chức năng / màn hình</t>
  </si>
  <si>
    <t>Chức năng</t>
  </si>
  <si>
    <t>Số lượng test case</t>
  </si>
  <si>
    <t>Tổng cộng</t>
  </si>
  <si>
    <t>Theo Test Viewpoint</t>
  </si>
  <si>
    <t>Phạm vi: 4 nhóm chức năng (A) Đăng ký/Đăng nhập, (B) Đổi mật khẩu, (C) Thanh toán Momo/ZaloPay, (D) Hiệu năng &amp; sử dụng đồng thời (quy mô rộng) theo đúng câu hỏi của Thầy về khả năng chịu tải nhiều người dùng cùng lúc.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</si>
</sst>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4"/>
      <color rgb="FF1F4E78"/>
      <name val="Arial"/>
      <charset val="1"/>
    </font>
    <font>
      <sz val="10"/>
      <color rgb="FF000000"/>
      <name val="Arial"/>
      <charset val="1"/>
    </font>
    <font>
      <b/>
      <sz val="10"/>
      <color rgb="FF000000"/>
      <name val="Arial"/>
      <charset val="1"/>
    </font>
    <font>
      <b/>
      <sz val="10"/>
      <color rgb="FFFFFFFF"/>
      <name val="Arial"/>
      <charset val="1"/>
    </font>
    <font>
      <sz val="10"/>
      <name val="Arial"/>
      <charset val="1"/>
    </font>
    <font>
      <b/>
      <sz val="13"/>
      <color rgb="FF1F4E78"/>
      <name val="Arial"/>
      <charset val="1"/>
    </font>
    <font>
      <b/>
      <sz val="10"/>
      <color rgb="FF1F4E78"/>
      <name val="Arial"/>
      <charset val="1"/>
    </font>
    <font>
      <b/>
      <sz val="11"/>
      <name val="Arial"/>
      <charset val="1"/>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3">
    <xf numFmtId="0" fontId="0" fillId="0" borderId="0" xfId="0"/>
    <xf numFmtId="0" fontId="7" fillId="0" borderId="0" xfId="0" applyFont="1"/>
    <xf numFmtId="0" fontId="6" fillId="0" borderId="0" xfId="0" applyFont="1"/>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5" fillId="0" borderId="1" xfId="0" applyFont="1" applyBorder="1"/>
    <xf numFmtId="0" fontId="8" fillId="0" borderId="1"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showGridLines="0" tabSelected="1" zoomScaleNormal="100" workbookViewId="0">
      <selection activeCell="A11" sqref="A11"/>
    </sheetView>
  </sheetViews>
  <sheetFormatPr defaultColWidth="8.6640625" defaultRowHeight="15.05" x14ac:dyDescent="0.3"/>
  <cols>
    <col min="1" max="1" width="120" customWidth="1"/>
  </cols>
  <sheetData>
    <row r="1" spans="1:1" ht="21.8" customHeight="1" x14ac:dyDescent="0.3">
      <c r="A1" s="3" t="s">
        <v>0</v>
      </c>
    </row>
    <row r="3" spans="1:1" ht="23.35" customHeight="1" x14ac:dyDescent="0.3">
      <c r="A3" s="4" t="s">
        <v>1</v>
      </c>
    </row>
    <row r="5" spans="1:1" ht="23.35" customHeight="1" x14ac:dyDescent="0.3">
      <c r="A5" s="4" t="s">
        <v>292</v>
      </c>
    </row>
    <row r="7" spans="1:1" ht="15.05" customHeight="1" x14ac:dyDescent="0.3">
      <c r="A7" s="5" t="s">
        <v>2</v>
      </c>
    </row>
    <row r="8" spans="1:1" x14ac:dyDescent="0.3">
      <c r="A8" s="4" t="s">
        <v>3</v>
      </c>
    </row>
    <row r="9" spans="1:1" ht="15.05" customHeight="1" x14ac:dyDescent="0.3"/>
    <row r="10" spans="1:1" ht="57" customHeight="1" x14ac:dyDescent="0.3"/>
    <row r="12" spans="1:1" ht="23.35" customHeight="1" x14ac:dyDescent="0.3"/>
    <row r="14" spans="1:1" ht="15.05" customHeight="1" x14ac:dyDescent="0.3"/>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8"/>
  <sheetViews>
    <sheetView zoomScaleNormal="100" workbookViewId="0">
      <pane ySplit="1" topLeftCell="A45" activePane="bottomLeft" state="frozen"/>
      <selection pane="bottomLeft" activeCell="N48" sqref="N48"/>
    </sheetView>
  </sheetViews>
  <sheetFormatPr defaultColWidth="8.6640625" defaultRowHeight="15.05" x14ac:dyDescent="0.3"/>
  <cols>
    <col min="1" max="1" width="5" customWidth="1"/>
    <col min="2" max="2" width="14" customWidth="1"/>
    <col min="3" max="3" width="20" customWidth="1"/>
    <col min="4" max="4" width="13" customWidth="1"/>
    <col min="5" max="5" width="24" customWidth="1"/>
    <col min="6" max="6" width="40" customWidth="1"/>
    <col min="7" max="7" width="20" customWidth="1"/>
    <col min="8" max="8" width="40" customWidth="1"/>
  </cols>
  <sheetData>
    <row r="1" spans="1:8" ht="23.35" customHeight="1" x14ac:dyDescent="0.3">
      <c r="A1" s="6" t="s">
        <v>4</v>
      </c>
      <c r="B1" s="6" t="s">
        <v>5</v>
      </c>
      <c r="C1" s="6" t="s">
        <v>6</v>
      </c>
      <c r="D1" s="6" t="s">
        <v>7</v>
      </c>
      <c r="E1" s="6" t="s">
        <v>8</v>
      </c>
      <c r="F1" s="6" t="s">
        <v>9</v>
      </c>
      <c r="G1" s="6" t="s">
        <v>10</v>
      </c>
      <c r="H1" s="6" t="s">
        <v>11</v>
      </c>
    </row>
    <row r="2" spans="1:8" ht="45.7" customHeight="1" x14ac:dyDescent="0.3">
      <c r="A2" s="7">
        <v>1</v>
      </c>
      <c r="B2" s="8" t="s">
        <v>12</v>
      </c>
      <c r="C2" s="8" t="s">
        <v>13</v>
      </c>
      <c r="D2" s="7" t="s">
        <v>14</v>
      </c>
      <c r="E2" s="8" t="s">
        <v>15</v>
      </c>
      <c r="F2" s="8" t="s">
        <v>16</v>
      </c>
      <c r="G2" s="8" t="s">
        <v>17</v>
      </c>
      <c r="H2" s="8" t="s">
        <v>18</v>
      </c>
    </row>
    <row r="3" spans="1:8" ht="23.35" customHeight="1" x14ac:dyDescent="0.3">
      <c r="A3" s="9">
        <v>2</v>
      </c>
      <c r="B3" s="10" t="s">
        <v>19</v>
      </c>
      <c r="C3" s="10" t="s">
        <v>13</v>
      </c>
      <c r="D3" s="9" t="s">
        <v>14</v>
      </c>
      <c r="E3" s="10" t="s">
        <v>20</v>
      </c>
      <c r="F3" s="10" t="s">
        <v>21</v>
      </c>
      <c r="G3" s="10" t="s">
        <v>22</v>
      </c>
      <c r="H3" s="10" t="s">
        <v>23</v>
      </c>
    </row>
    <row r="4" spans="1:8" ht="45.7" customHeight="1" x14ac:dyDescent="0.3">
      <c r="A4" s="7">
        <v>3</v>
      </c>
      <c r="B4" s="8" t="s">
        <v>24</v>
      </c>
      <c r="C4" s="8" t="s">
        <v>13</v>
      </c>
      <c r="D4" s="7" t="s">
        <v>14</v>
      </c>
      <c r="E4" s="8" t="s">
        <v>25</v>
      </c>
      <c r="F4" s="8" t="s">
        <v>26</v>
      </c>
      <c r="G4" s="8" t="s">
        <v>17</v>
      </c>
      <c r="H4" s="8" t="s">
        <v>27</v>
      </c>
    </row>
    <row r="5" spans="1:8" ht="34.450000000000003" customHeight="1" x14ac:dyDescent="0.3">
      <c r="A5" s="9">
        <v>4</v>
      </c>
      <c r="B5" s="10" t="s">
        <v>28</v>
      </c>
      <c r="C5" s="10" t="s">
        <v>13</v>
      </c>
      <c r="D5" s="9" t="s">
        <v>14</v>
      </c>
      <c r="E5" s="10" t="s">
        <v>29</v>
      </c>
      <c r="F5" s="10" t="s">
        <v>30</v>
      </c>
      <c r="G5" s="10" t="s">
        <v>31</v>
      </c>
      <c r="H5" s="10" t="s">
        <v>32</v>
      </c>
    </row>
    <row r="6" spans="1:8" ht="34.450000000000003" customHeight="1" x14ac:dyDescent="0.3">
      <c r="A6" s="7">
        <v>5</v>
      </c>
      <c r="B6" s="8" t="s">
        <v>33</v>
      </c>
      <c r="C6" s="8" t="s">
        <v>13</v>
      </c>
      <c r="D6" s="7" t="s">
        <v>14</v>
      </c>
      <c r="E6" s="8" t="s">
        <v>34</v>
      </c>
      <c r="F6" s="8" t="s">
        <v>35</v>
      </c>
      <c r="G6" s="8" t="s">
        <v>36</v>
      </c>
      <c r="H6" s="8" t="s">
        <v>37</v>
      </c>
    </row>
    <row r="7" spans="1:8" ht="34.450000000000003" customHeight="1" x14ac:dyDescent="0.3">
      <c r="A7" s="9">
        <v>6</v>
      </c>
      <c r="B7" s="10" t="s">
        <v>38</v>
      </c>
      <c r="C7" s="10" t="s">
        <v>13</v>
      </c>
      <c r="D7" s="9" t="s">
        <v>39</v>
      </c>
      <c r="E7" s="10" t="s">
        <v>40</v>
      </c>
      <c r="F7" s="10" t="s">
        <v>41</v>
      </c>
      <c r="G7" s="10" t="s">
        <v>42</v>
      </c>
      <c r="H7" s="10" t="s">
        <v>43</v>
      </c>
    </row>
    <row r="8" spans="1:8" ht="34.450000000000003" customHeight="1" x14ac:dyDescent="0.3">
      <c r="A8" s="7">
        <v>7</v>
      </c>
      <c r="B8" s="8" t="s">
        <v>44</v>
      </c>
      <c r="C8" s="8" t="s">
        <v>13</v>
      </c>
      <c r="D8" s="7" t="s">
        <v>39</v>
      </c>
      <c r="E8" s="8" t="s">
        <v>40</v>
      </c>
      <c r="F8" s="8" t="s">
        <v>45</v>
      </c>
      <c r="G8" s="8" t="s">
        <v>46</v>
      </c>
      <c r="H8" s="8" t="s">
        <v>47</v>
      </c>
    </row>
    <row r="9" spans="1:8" ht="23.35" customHeight="1" x14ac:dyDescent="0.3">
      <c r="A9" s="9">
        <v>8</v>
      </c>
      <c r="B9" s="10" t="s">
        <v>48</v>
      </c>
      <c r="C9" s="10" t="s">
        <v>13</v>
      </c>
      <c r="D9" s="9" t="s">
        <v>39</v>
      </c>
      <c r="E9" s="10" t="s">
        <v>40</v>
      </c>
      <c r="F9" s="10" t="s">
        <v>49</v>
      </c>
      <c r="G9" s="10" t="s">
        <v>50</v>
      </c>
      <c r="H9" s="10" t="s">
        <v>51</v>
      </c>
    </row>
    <row r="10" spans="1:8" ht="34.450000000000003" customHeight="1" x14ac:dyDescent="0.3">
      <c r="A10" s="7">
        <v>9</v>
      </c>
      <c r="B10" s="8" t="s">
        <v>52</v>
      </c>
      <c r="C10" s="8" t="s">
        <v>13</v>
      </c>
      <c r="D10" s="7" t="s">
        <v>39</v>
      </c>
      <c r="E10" s="8" t="s">
        <v>53</v>
      </c>
      <c r="F10" s="8" t="s">
        <v>54</v>
      </c>
      <c r="G10" s="8" t="s">
        <v>55</v>
      </c>
      <c r="H10" s="8" t="s">
        <v>56</v>
      </c>
    </row>
    <row r="11" spans="1:8" ht="34.450000000000003" customHeight="1" x14ac:dyDescent="0.3">
      <c r="A11" s="9">
        <v>10</v>
      </c>
      <c r="B11" s="10" t="s">
        <v>57</v>
      </c>
      <c r="C11" s="10" t="s">
        <v>13</v>
      </c>
      <c r="D11" s="9" t="s">
        <v>58</v>
      </c>
      <c r="E11" s="10" t="s">
        <v>40</v>
      </c>
      <c r="F11" s="10" t="s">
        <v>59</v>
      </c>
      <c r="G11" s="10" t="s">
        <v>60</v>
      </c>
      <c r="H11" s="10" t="s">
        <v>61</v>
      </c>
    </row>
    <row r="12" spans="1:8" ht="34.450000000000003" customHeight="1" x14ac:dyDescent="0.3">
      <c r="A12" s="7">
        <v>11</v>
      </c>
      <c r="B12" s="8" t="s">
        <v>62</v>
      </c>
      <c r="C12" s="8" t="s">
        <v>13</v>
      </c>
      <c r="D12" s="7" t="s">
        <v>58</v>
      </c>
      <c r="E12" s="8" t="s">
        <v>40</v>
      </c>
      <c r="F12" s="8" t="s">
        <v>63</v>
      </c>
      <c r="G12" s="8" t="s">
        <v>64</v>
      </c>
      <c r="H12" s="8" t="s">
        <v>65</v>
      </c>
    </row>
    <row r="13" spans="1:8" ht="45.7" customHeight="1" x14ac:dyDescent="0.3">
      <c r="A13" s="9">
        <v>12</v>
      </c>
      <c r="B13" s="10" t="s">
        <v>66</v>
      </c>
      <c r="C13" s="10" t="s">
        <v>13</v>
      </c>
      <c r="D13" s="9" t="s">
        <v>67</v>
      </c>
      <c r="E13" s="10" t="s">
        <v>68</v>
      </c>
      <c r="F13" s="10" t="s">
        <v>69</v>
      </c>
      <c r="G13" s="10" t="s">
        <v>70</v>
      </c>
      <c r="H13" s="10" t="s">
        <v>71</v>
      </c>
    </row>
    <row r="14" spans="1:8" ht="34.450000000000003" customHeight="1" x14ac:dyDescent="0.3">
      <c r="A14" s="7">
        <v>13</v>
      </c>
      <c r="B14" s="8" t="s">
        <v>72</v>
      </c>
      <c r="C14" s="8" t="s">
        <v>13</v>
      </c>
      <c r="D14" s="7" t="s">
        <v>67</v>
      </c>
      <c r="E14" s="8" t="s">
        <v>73</v>
      </c>
      <c r="F14" s="8" t="s">
        <v>74</v>
      </c>
      <c r="G14" s="8" t="s">
        <v>75</v>
      </c>
      <c r="H14" s="8" t="s">
        <v>76</v>
      </c>
    </row>
    <row r="15" spans="1:8" ht="34.450000000000003" customHeight="1" x14ac:dyDescent="0.3">
      <c r="A15" s="9">
        <v>14</v>
      </c>
      <c r="B15" s="10" t="s">
        <v>77</v>
      </c>
      <c r="C15" s="10" t="s">
        <v>13</v>
      </c>
      <c r="D15" s="9" t="s">
        <v>67</v>
      </c>
      <c r="E15" s="10" t="s">
        <v>78</v>
      </c>
      <c r="F15" s="10" t="s">
        <v>79</v>
      </c>
      <c r="G15" s="10" t="s">
        <v>80</v>
      </c>
      <c r="H15" s="10" t="s">
        <v>81</v>
      </c>
    </row>
    <row r="16" spans="1:8" ht="57" customHeight="1" x14ac:dyDescent="0.3">
      <c r="A16" s="7">
        <v>15</v>
      </c>
      <c r="B16" s="8" t="s">
        <v>82</v>
      </c>
      <c r="C16" s="8" t="s">
        <v>13</v>
      </c>
      <c r="D16" s="7" t="s">
        <v>67</v>
      </c>
      <c r="E16" s="8" t="s">
        <v>83</v>
      </c>
      <c r="F16" s="8" t="s">
        <v>84</v>
      </c>
      <c r="G16" s="8" t="s">
        <v>85</v>
      </c>
      <c r="H16" s="8" t="s">
        <v>86</v>
      </c>
    </row>
    <row r="17" spans="1:8" ht="34.450000000000003" customHeight="1" x14ac:dyDescent="0.3">
      <c r="A17" s="9">
        <v>16</v>
      </c>
      <c r="B17" s="10" t="s">
        <v>87</v>
      </c>
      <c r="C17" s="10" t="s">
        <v>13</v>
      </c>
      <c r="D17" s="9" t="s">
        <v>88</v>
      </c>
      <c r="E17" s="10" t="s">
        <v>89</v>
      </c>
      <c r="F17" s="10" t="s">
        <v>90</v>
      </c>
      <c r="G17" s="10" t="s">
        <v>36</v>
      </c>
      <c r="H17" s="10" t="s">
        <v>91</v>
      </c>
    </row>
    <row r="18" spans="1:8" ht="57" customHeight="1" x14ac:dyDescent="0.3">
      <c r="A18" s="7">
        <v>17</v>
      </c>
      <c r="B18" s="8" t="s">
        <v>92</v>
      </c>
      <c r="C18" s="8" t="s">
        <v>13</v>
      </c>
      <c r="D18" s="7" t="s">
        <v>93</v>
      </c>
      <c r="E18" s="8" t="s">
        <v>94</v>
      </c>
      <c r="F18" s="8" t="s">
        <v>95</v>
      </c>
      <c r="G18" s="8" t="s">
        <v>96</v>
      </c>
      <c r="H18" s="8" t="s">
        <v>97</v>
      </c>
    </row>
    <row r="19" spans="1:8" ht="45.7" customHeight="1" x14ac:dyDescent="0.3">
      <c r="A19" s="9">
        <v>18</v>
      </c>
      <c r="B19" s="10" t="s">
        <v>98</v>
      </c>
      <c r="C19" s="10" t="s">
        <v>99</v>
      </c>
      <c r="D19" s="9" t="s">
        <v>14</v>
      </c>
      <c r="E19" s="10" t="s">
        <v>100</v>
      </c>
      <c r="F19" s="10" t="s">
        <v>101</v>
      </c>
      <c r="G19" s="10" t="s">
        <v>102</v>
      </c>
      <c r="H19" s="10" t="s">
        <v>103</v>
      </c>
    </row>
    <row r="20" spans="1:8" ht="34.450000000000003" customHeight="1" x14ac:dyDescent="0.3">
      <c r="A20" s="7">
        <v>19</v>
      </c>
      <c r="B20" s="8" t="s">
        <v>104</v>
      </c>
      <c r="C20" s="8" t="s">
        <v>99</v>
      </c>
      <c r="D20" s="7" t="s">
        <v>14</v>
      </c>
      <c r="E20" s="8" t="s">
        <v>105</v>
      </c>
      <c r="F20" s="8" t="s">
        <v>106</v>
      </c>
      <c r="G20" s="8" t="s">
        <v>107</v>
      </c>
      <c r="H20" s="8" t="s">
        <v>108</v>
      </c>
    </row>
    <row r="21" spans="1:8" ht="23.35" customHeight="1" x14ac:dyDescent="0.3">
      <c r="A21" s="9">
        <v>20</v>
      </c>
      <c r="B21" s="10" t="s">
        <v>109</v>
      </c>
      <c r="C21" s="10" t="s">
        <v>99</v>
      </c>
      <c r="D21" s="9" t="s">
        <v>39</v>
      </c>
      <c r="E21" s="10" t="s">
        <v>110</v>
      </c>
      <c r="F21" s="10" t="s">
        <v>111</v>
      </c>
      <c r="G21" s="10" t="s">
        <v>112</v>
      </c>
      <c r="H21" s="10" t="s">
        <v>113</v>
      </c>
    </row>
    <row r="22" spans="1:8" ht="23.35" customHeight="1" x14ac:dyDescent="0.3">
      <c r="A22" s="7">
        <v>21</v>
      </c>
      <c r="B22" s="8" t="s">
        <v>114</v>
      </c>
      <c r="C22" s="8" t="s">
        <v>99</v>
      </c>
      <c r="D22" s="7" t="s">
        <v>39</v>
      </c>
      <c r="E22" s="8" t="s">
        <v>110</v>
      </c>
      <c r="F22" s="8" t="s">
        <v>115</v>
      </c>
      <c r="G22" s="8" t="s">
        <v>116</v>
      </c>
      <c r="H22" s="8" t="s">
        <v>117</v>
      </c>
    </row>
    <row r="23" spans="1:8" ht="23.35" customHeight="1" x14ac:dyDescent="0.3">
      <c r="A23" s="9">
        <v>22</v>
      </c>
      <c r="B23" s="10" t="s">
        <v>118</v>
      </c>
      <c r="C23" s="10" t="s">
        <v>99</v>
      </c>
      <c r="D23" s="9" t="s">
        <v>39</v>
      </c>
      <c r="E23" s="10" t="s">
        <v>110</v>
      </c>
      <c r="F23" s="10" t="s">
        <v>119</v>
      </c>
      <c r="G23" s="10" t="s">
        <v>120</v>
      </c>
      <c r="H23" s="10" t="s">
        <v>121</v>
      </c>
    </row>
    <row r="24" spans="1:8" ht="23.35" customHeight="1" x14ac:dyDescent="0.3">
      <c r="A24" s="7">
        <v>23</v>
      </c>
      <c r="B24" s="8" t="s">
        <v>122</v>
      </c>
      <c r="C24" s="8" t="s">
        <v>99</v>
      </c>
      <c r="D24" s="7" t="s">
        <v>39</v>
      </c>
      <c r="E24" s="8" t="s">
        <v>110</v>
      </c>
      <c r="F24" s="8" t="s">
        <v>123</v>
      </c>
      <c r="G24" s="8" t="s">
        <v>124</v>
      </c>
      <c r="H24" s="8" t="s">
        <v>125</v>
      </c>
    </row>
    <row r="25" spans="1:8" ht="23.35" customHeight="1" x14ac:dyDescent="0.3">
      <c r="A25" s="9">
        <v>24</v>
      </c>
      <c r="B25" s="10" t="s">
        <v>126</v>
      </c>
      <c r="C25" s="10" t="s">
        <v>99</v>
      </c>
      <c r="D25" s="9" t="s">
        <v>58</v>
      </c>
      <c r="E25" s="10" t="s">
        <v>110</v>
      </c>
      <c r="F25" s="10" t="s">
        <v>127</v>
      </c>
      <c r="G25" s="10" t="s">
        <v>128</v>
      </c>
      <c r="H25" s="10" t="s">
        <v>129</v>
      </c>
    </row>
    <row r="26" spans="1:8" ht="23.35" customHeight="1" x14ac:dyDescent="0.3">
      <c r="A26" s="7">
        <v>25</v>
      </c>
      <c r="B26" s="8" t="s">
        <v>130</v>
      </c>
      <c r="C26" s="8" t="s">
        <v>99</v>
      </c>
      <c r="D26" s="7" t="s">
        <v>58</v>
      </c>
      <c r="E26" s="8" t="s">
        <v>110</v>
      </c>
      <c r="F26" s="8" t="s">
        <v>131</v>
      </c>
      <c r="G26" s="8" t="s">
        <v>132</v>
      </c>
      <c r="H26" s="8" t="s">
        <v>133</v>
      </c>
    </row>
    <row r="27" spans="1:8" ht="34.450000000000003" customHeight="1" x14ac:dyDescent="0.3">
      <c r="A27" s="9">
        <v>26</v>
      </c>
      <c r="B27" s="10" t="s">
        <v>134</v>
      </c>
      <c r="C27" s="10" t="s">
        <v>99</v>
      </c>
      <c r="D27" s="9" t="s">
        <v>67</v>
      </c>
      <c r="E27" s="10" t="s">
        <v>135</v>
      </c>
      <c r="F27" s="10" t="s">
        <v>136</v>
      </c>
      <c r="G27" s="10" t="s">
        <v>137</v>
      </c>
      <c r="H27" s="10" t="s">
        <v>138</v>
      </c>
    </row>
    <row r="28" spans="1:8" ht="34.450000000000003" customHeight="1" x14ac:dyDescent="0.3">
      <c r="A28" s="7">
        <v>27</v>
      </c>
      <c r="B28" s="8" t="s">
        <v>139</v>
      </c>
      <c r="C28" s="8" t="s">
        <v>99</v>
      </c>
      <c r="D28" s="7" t="s">
        <v>67</v>
      </c>
      <c r="E28" s="8" t="s">
        <v>110</v>
      </c>
      <c r="F28" s="8" t="s">
        <v>140</v>
      </c>
      <c r="G28" s="8" t="s">
        <v>141</v>
      </c>
      <c r="H28" s="8" t="s">
        <v>142</v>
      </c>
    </row>
    <row r="29" spans="1:8" ht="45.7" customHeight="1" x14ac:dyDescent="0.3">
      <c r="A29" s="9">
        <v>28</v>
      </c>
      <c r="B29" s="10" t="s">
        <v>143</v>
      </c>
      <c r="C29" s="10" t="s">
        <v>99</v>
      </c>
      <c r="D29" s="9" t="s">
        <v>67</v>
      </c>
      <c r="E29" s="10" t="s">
        <v>144</v>
      </c>
      <c r="F29" s="10" t="s">
        <v>145</v>
      </c>
      <c r="G29" s="10" t="s">
        <v>36</v>
      </c>
      <c r="H29" s="10" t="s">
        <v>146</v>
      </c>
    </row>
    <row r="30" spans="1:8" ht="45.7" customHeight="1" x14ac:dyDescent="0.3">
      <c r="A30" s="7">
        <v>29</v>
      </c>
      <c r="B30" s="8" t="s">
        <v>147</v>
      </c>
      <c r="C30" s="8" t="s">
        <v>99</v>
      </c>
      <c r="D30" s="7" t="s">
        <v>88</v>
      </c>
      <c r="E30" s="8" t="s">
        <v>148</v>
      </c>
      <c r="F30" s="8" t="s">
        <v>149</v>
      </c>
      <c r="G30" s="8" t="s">
        <v>36</v>
      </c>
      <c r="H30" s="8" t="s">
        <v>150</v>
      </c>
    </row>
    <row r="31" spans="1:8" ht="34.450000000000003" customHeight="1" x14ac:dyDescent="0.3">
      <c r="A31" s="9">
        <v>30</v>
      </c>
      <c r="B31" s="10" t="s">
        <v>151</v>
      </c>
      <c r="C31" s="10" t="s">
        <v>99</v>
      </c>
      <c r="D31" s="9" t="s">
        <v>93</v>
      </c>
      <c r="E31" s="10" t="s">
        <v>152</v>
      </c>
      <c r="F31" s="10" t="s">
        <v>153</v>
      </c>
      <c r="G31" s="10" t="s">
        <v>36</v>
      </c>
      <c r="H31" s="10" t="s">
        <v>154</v>
      </c>
    </row>
    <row r="32" spans="1:8" ht="45.7" customHeight="1" x14ac:dyDescent="0.3">
      <c r="A32" s="7">
        <v>31</v>
      </c>
      <c r="B32" s="8" t="s">
        <v>155</v>
      </c>
      <c r="C32" s="8" t="s">
        <v>156</v>
      </c>
      <c r="D32" s="7" t="s">
        <v>14</v>
      </c>
      <c r="E32" s="8" t="s">
        <v>157</v>
      </c>
      <c r="F32" s="8" t="s">
        <v>158</v>
      </c>
      <c r="G32" s="8" t="s">
        <v>159</v>
      </c>
      <c r="H32" s="8" t="s">
        <v>160</v>
      </c>
    </row>
    <row r="33" spans="1:8" ht="45.7" customHeight="1" x14ac:dyDescent="0.3">
      <c r="A33" s="9">
        <v>32</v>
      </c>
      <c r="B33" s="10" t="s">
        <v>161</v>
      </c>
      <c r="C33" s="10" t="s">
        <v>156</v>
      </c>
      <c r="D33" s="9" t="s">
        <v>14</v>
      </c>
      <c r="E33" s="10" t="s">
        <v>162</v>
      </c>
      <c r="F33" s="10" t="s">
        <v>163</v>
      </c>
      <c r="G33" s="10" t="s">
        <v>164</v>
      </c>
      <c r="H33" s="10" t="s">
        <v>165</v>
      </c>
    </row>
    <row r="34" spans="1:8" ht="34.450000000000003" customHeight="1" x14ac:dyDescent="0.3">
      <c r="A34" s="7">
        <v>33</v>
      </c>
      <c r="B34" s="8" t="s">
        <v>166</v>
      </c>
      <c r="C34" s="8" t="s">
        <v>156</v>
      </c>
      <c r="D34" s="7" t="s">
        <v>14</v>
      </c>
      <c r="E34" s="8" t="s">
        <v>167</v>
      </c>
      <c r="F34" s="8" t="s">
        <v>168</v>
      </c>
      <c r="G34" s="8" t="s">
        <v>169</v>
      </c>
      <c r="H34" s="8" t="s">
        <v>170</v>
      </c>
    </row>
    <row r="35" spans="1:8" ht="34.450000000000003" customHeight="1" x14ac:dyDescent="0.3">
      <c r="A35" s="9">
        <v>34</v>
      </c>
      <c r="B35" s="10" t="s">
        <v>171</v>
      </c>
      <c r="C35" s="10" t="s">
        <v>156</v>
      </c>
      <c r="D35" s="9" t="s">
        <v>14</v>
      </c>
      <c r="E35" s="10" t="s">
        <v>172</v>
      </c>
      <c r="F35" s="10" t="s">
        <v>173</v>
      </c>
      <c r="G35" s="10" t="s">
        <v>174</v>
      </c>
      <c r="H35" s="10" t="s">
        <v>175</v>
      </c>
    </row>
    <row r="36" spans="1:8" ht="34.450000000000003" customHeight="1" x14ac:dyDescent="0.3">
      <c r="A36" s="7">
        <v>35</v>
      </c>
      <c r="B36" s="8" t="s">
        <v>176</v>
      </c>
      <c r="C36" s="8" t="s">
        <v>156</v>
      </c>
      <c r="D36" s="7" t="s">
        <v>14</v>
      </c>
      <c r="E36" s="8" t="s">
        <v>177</v>
      </c>
      <c r="F36" s="8" t="s">
        <v>178</v>
      </c>
      <c r="G36" s="8" t="s">
        <v>36</v>
      </c>
      <c r="H36" s="8" t="s">
        <v>179</v>
      </c>
    </row>
    <row r="37" spans="1:8" ht="34.450000000000003" customHeight="1" x14ac:dyDescent="0.3">
      <c r="A37" s="9">
        <v>36</v>
      </c>
      <c r="B37" s="10" t="s">
        <v>180</v>
      </c>
      <c r="C37" s="10" t="s">
        <v>156</v>
      </c>
      <c r="D37" s="9" t="s">
        <v>39</v>
      </c>
      <c r="E37" s="10" t="s">
        <v>181</v>
      </c>
      <c r="F37" s="10" t="s">
        <v>182</v>
      </c>
      <c r="G37" s="10" t="s">
        <v>183</v>
      </c>
      <c r="H37" s="10" t="s">
        <v>184</v>
      </c>
    </row>
    <row r="38" spans="1:8" ht="23.35" customHeight="1" x14ac:dyDescent="0.3">
      <c r="A38" s="7">
        <v>37</v>
      </c>
      <c r="B38" s="8" t="s">
        <v>185</v>
      </c>
      <c r="C38" s="8" t="s">
        <v>156</v>
      </c>
      <c r="D38" s="7" t="s">
        <v>39</v>
      </c>
      <c r="E38" s="8" t="s">
        <v>186</v>
      </c>
      <c r="F38" s="8" t="s">
        <v>187</v>
      </c>
      <c r="G38" s="8" t="s">
        <v>188</v>
      </c>
      <c r="H38" s="8" t="s">
        <v>189</v>
      </c>
    </row>
    <row r="39" spans="1:8" ht="34.450000000000003" customHeight="1" x14ac:dyDescent="0.3">
      <c r="A39" s="9">
        <v>38</v>
      </c>
      <c r="B39" s="10" t="s">
        <v>190</v>
      </c>
      <c r="C39" s="10" t="s">
        <v>156</v>
      </c>
      <c r="D39" s="9" t="s">
        <v>39</v>
      </c>
      <c r="E39" s="10" t="s">
        <v>191</v>
      </c>
      <c r="F39" s="10" t="s">
        <v>192</v>
      </c>
      <c r="G39" s="10" t="s">
        <v>193</v>
      </c>
      <c r="H39" s="10" t="s">
        <v>194</v>
      </c>
    </row>
    <row r="40" spans="1:8" ht="23.35" customHeight="1" x14ac:dyDescent="0.3">
      <c r="A40" s="7">
        <v>39</v>
      </c>
      <c r="B40" s="8" t="s">
        <v>195</v>
      </c>
      <c r="C40" s="8" t="s">
        <v>156</v>
      </c>
      <c r="D40" s="7" t="s">
        <v>58</v>
      </c>
      <c r="E40" s="8" t="s">
        <v>196</v>
      </c>
      <c r="F40" s="8" t="s">
        <v>197</v>
      </c>
      <c r="G40" s="8" t="s">
        <v>198</v>
      </c>
      <c r="H40" s="8" t="s">
        <v>199</v>
      </c>
    </row>
    <row r="41" spans="1:8" ht="34.450000000000003" customHeight="1" x14ac:dyDescent="0.3">
      <c r="A41" s="9">
        <v>40</v>
      </c>
      <c r="B41" s="10" t="s">
        <v>200</v>
      </c>
      <c r="C41" s="10" t="s">
        <v>156</v>
      </c>
      <c r="D41" s="9" t="s">
        <v>58</v>
      </c>
      <c r="E41" s="10" t="s">
        <v>201</v>
      </c>
      <c r="F41" s="10" t="s">
        <v>202</v>
      </c>
      <c r="G41" s="10" t="s">
        <v>203</v>
      </c>
      <c r="H41" s="10" t="s">
        <v>204</v>
      </c>
    </row>
    <row r="42" spans="1:8" ht="34.450000000000003" customHeight="1" x14ac:dyDescent="0.3">
      <c r="A42" s="7">
        <v>41</v>
      </c>
      <c r="B42" s="8" t="s">
        <v>205</v>
      </c>
      <c r="C42" s="8" t="s">
        <v>156</v>
      </c>
      <c r="D42" s="7" t="s">
        <v>67</v>
      </c>
      <c r="E42" s="8" t="s">
        <v>206</v>
      </c>
      <c r="F42" s="8" t="s">
        <v>207</v>
      </c>
      <c r="G42" s="8" t="s">
        <v>36</v>
      </c>
      <c r="H42" s="8" t="s">
        <v>208</v>
      </c>
    </row>
    <row r="43" spans="1:8" ht="34.450000000000003" customHeight="1" x14ac:dyDescent="0.3">
      <c r="A43" s="9">
        <v>42</v>
      </c>
      <c r="B43" s="10" t="s">
        <v>209</v>
      </c>
      <c r="C43" s="10" t="s">
        <v>156</v>
      </c>
      <c r="D43" s="9" t="s">
        <v>67</v>
      </c>
      <c r="E43" s="10" t="s">
        <v>210</v>
      </c>
      <c r="F43" s="10" t="s">
        <v>211</v>
      </c>
      <c r="G43" s="10" t="s">
        <v>212</v>
      </c>
      <c r="H43" s="10" t="s">
        <v>213</v>
      </c>
    </row>
    <row r="44" spans="1:8" ht="34.450000000000003" customHeight="1" x14ac:dyDescent="0.3">
      <c r="A44" s="7">
        <v>43</v>
      </c>
      <c r="B44" s="8" t="s">
        <v>214</v>
      </c>
      <c r="C44" s="8" t="s">
        <v>156</v>
      </c>
      <c r="D44" s="7" t="s">
        <v>67</v>
      </c>
      <c r="E44" s="8" t="s">
        <v>215</v>
      </c>
      <c r="F44" s="8" t="s">
        <v>216</v>
      </c>
      <c r="G44" s="8" t="s">
        <v>217</v>
      </c>
      <c r="H44" s="8" t="s">
        <v>218</v>
      </c>
    </row>
    <row r="45" spans="1:8" ht="45.7" customHeight="1" x14ac:dyDescent="0.3">
      <c r="A45" s="9">
        <v>44</v>
      </c>
      <c r="B45" s="10" t="s">
        <v>219</v>
      </c>
      <c r="C45" s="10" t="s">
        <v>156</v>
      </c>
      <c r="D45" s="9" t="s">
        <v>67</v>
      </c>
      <c r="E45" s="10" t="s">
        <v>220</v>
      </c>
      <c r="F45" s="10" t="s">
        <v>221</v>
      </c>
      <c r="G45" s="10" t="s">
        <v>36</v>
      </c>
      <c r="H45" s="10" t="s">
        <v>222</v>
      </c>
    </row>
    <row r="46" spans="1:8" ht="45.7" customHeight="1" x14ac:dyDescent="0.3">
      <c r="A46" s="7">
        <v>45</v>
      </c>
      <c r="B46" s="8" t="s">
        <v>223</v>
      </c>
      <c r="C46" s="8" t="s">
        <v>156</v>
      </c>
      <c r="D46" s="7" t="s">
        <v>88</v>
      </c>
      <c r="E46" s="8" t="s">
        <v>224</v>
      </c>
      <c r="F46" s="8" t="s">
        <v>225</v>
      </c>
      <c r="G46" s="8" t="s">
        <v>36</v>
      </c>
      <c r="H46" s="8" t="s">
        <v>226</v>
      </c>
    </row>
    <row r="47" spans="1:8" ht="34.450000000000003" customHeight="1" x14ac:dyDescent="0.3">
      <c r="A47" s="9">
        <v>46</v>
      </c>
      <c r="B47" s="10" t="s">
        <v>227</v>
      </c>
      <c r="C47" s="10" t="s">
        <v>156</v>
      </c>
      <c r="D47" s="9" t="s">
        <v>93</v>
      </c>
      <c r="E47" s="10" t="s">
        <v>228</v>
      </c>
      <c r="F47" s="10" t="s">
        <v>229</v>
      </c>
      <c r="G47" s="10" t="s">
        <v>36</v>
      </c>
      <c r="H47" s="10" t="s">
        <v>230</v>
      </c>
    </row>
    <row r="48" spans="1:8" ht="34.450000000000003" customHeight="1" x14ac:dyDescent="0.3">
      <c r="A48" s="7">
        <v>47</v>
      </c>
      <c r="B48" s="8" t="s">
        <v>231</v>
      </c>
      <c r="C48" s="8" t="s">
        <v>156</v>
      </c>
      <c r="D48" s="7" t="s">
        <v>93</v>
      </c>
      <c r="E48" s="8" t="s">
        <v>232</v>
      </c>
      <c r="F48" s="8" t="s">
        <v>233</v>
      </c>
      <c r="G48" s="8" t="s">
        <v>36</v>
      </c>
      <c r="H48" s="8" t="s">
        <v>234</v>
      </c>
    </row>
    <row r="49" spans="1:8" ht="45.7" customHeight="1" x14ac:dyDescent="0.3">
      <c r="A49" s="9">
        <v>48</v>
      </c>
      <c r="B49" s="10" t="s">
        <v>235</v>
      </c>
      <c r="C49" s="10" t="s">
        <v>236</v>
      </c>
      <c r="D49" s="9" t="s">
        <v>237</v>
      </c>
      <c r="E49" s="10" t="s">
        <v>238</v>
      </c>
      <c r="F49" s="10" t="s">
        <v>239</v>
      </c>
      <c r="G49" s="10" t="s">
        <v>240</v>
      </c>
      <c r="H49" s="10" t="s">
        <v>241</v>
      </c>
    </row>
    <row r="50" spans="1:8" ht="34.450000000000003" customHeight="1" x14ac:dyDescent="0.3">
      <c r="A50" s="7">
        <v>49</v>
      </c>
      <c r="B50" s="8" t="s">
        <v>242</v>
      </c>
      <c r="C50" s="8" t="s">
        <v>236</v>
      </c>
      <c r="D50" s="7" t="s">
        <v>237</v>
      </c>
      <c r="E50" s="8" t="s">
        <v>243</v>
      </c>
      <c r="F50" s="8" t="s">
        <v>244</v>
      </c>
      <c r="G50" s="8" t="s">
        <v>245</v>
      </c>
      <c r="H50" s="8" t="s">
        <v>246</v>
      </c>
    </row>
    <row r="51" spans="1:8" ht="34.450000000000003" customHeight="1" x14ac:dyDescent="0.3">
      <c r="A51" s="9">
        <v>50</v>
      </c>
      <c r="B51" s="10" t="s">
        <v>247</v>
      </c>
      <c r="C51" s="10" t="s">
        <v>236</v>
      </c>
      <c r="D51" s="9" t="s">
        <v>237</v>
      </c>
      <c r="E51" s="10" t="s">
        <v>248</v>
      </c>
      <c r="F51" s="10" t="s">
        <v>249</v>
      </c>
      <c r="G51" s="10" t="s">
        <v>250</v>
      </c>
      <c r="H51" s="10" t="s">
        <v>251</v>
      </c>
    </row>
    <row r="52" spans="1:8" ht="45.7" customHeight="1" x14ac:dyDescent="0.3">
      <c r="A52" s="7">
        <v>51</v>
      </c>
      <c r="B52" s="8" t="s">
        <v>252</v>
      </c>
      <c r="C52" s="8" t="s">
        <v>236</v>
      </c>
      <c r="D52" s="7" t="s">
        <v>237</v>
      </c>
      <c r="E52" s="8" t="s">
        <v>253</v>
      </c>
      <c r="F52" s="8" t="s">
        <v>254</v>
      </c>
      <c r="G52" s="8" t="s">
        <v>255</v>
      </c>
      <c r="H52" s="8" t="s">
        <v>256</v>
      </c>
    </row>
    <row r="53" spans="1:8" ht="34.450000000000003" customHeight="1" x14ac:dyDescent="0.3">
      <c r="A53" s="9">
        <v>52</v>
      </c>
      <c r="B53" s="10" t="s">
        <v>257</v>
      </c>
      <c r="C53" s="10" t="s">
        <v>236</v>
      </c>
      <c r="D53" s="9" t="s">
        <v>237</v>
      </c>
      <c r="E53" s="10" t="s">
        <v>258</v>
      </c>
      <c r="F53" s="10" t="s">
        <v>259</v>
      </c>
      <c r="G53" s="10" t="s">
        <v>260</v>
      </c>
      <c r="H53" s="10" t="s">
        <v>261</v>
      </c>
    </row>
    <row r="54" spans="1:8" ht="45.7" customHeight="1" x14ac:dyDescent="0.3">
      <c r="A54" s="7">
        <v>53</v>
      </c>
      <c r="B54" s="8" t="s">
        <v>262</v>
      </c>
      <c r="C54" s="8" t="s">
        <v>236</v>
      </c>
      <c r="D54" s="7" t="s">
        <v>237</v>
      </c>
      <c r="E54" s="8" t="s">
        <v>263</v>
      </c>
      <c r="F54" s="8" t="s">
        <v>264</v>
      </c>
      <c r="G54" s="8" t="s">
        <v>265</v>
      </c>
      <c r="H54" s="8" t="s">
        <v>266</v>
      </c>
    </row>
    <row r="55" spans="1:8" ht="45.7" customHeight="1" x14ac:dyDescent="0.3">
      <c r="A55" s="9">
        <v>54</v>
      </c>
      <c r="B55" s="10" t="s">
        <v>267</v>
      </c>
      <c r="C55" s="10" t="s">
        <v>236</v>
      </c>
      <c r="D55" s="9" t="s">
        <v>237</v>
      </c>
      <c r="E55" s="10" t="s">
        <v>268</v>
      </c>
      <c r="F55" s="10" t="s">
        <v>269</v>
      </c>
      <c r="G55" s="10" t="s">
        <v>270</v>
      </c>
      <c r="H55" s="10" t="s">
        <v>271</v>
      </c>
    </row>
    <row r="56" spans="1:8" ht="34.450000000000003" customHeight="1" x14ac:dyDescent="0.3">
      <c r="A56" s="7">
        <v>55</v>
      </c>
      <c r="B56" s="8" t="s">
        <v>272</v>
      </c>
      <c r="C56" s="8" t="s">
        <v>236</v>
      </c>
      <c r="D56" s="7" t="s">
        <v>237</v>
      </c>
      <c r="E56" s="8" t="s">
        <v>273</v>
      </c>
      <c r="F56" s="8" t="s">
        <v>274</v>
      </c>
      <c r="G56" s="8" t="s">
        <v>275</v>
      </c>
      <c r="H56" s="8" t="s">
        <v>276</v>
      </c>
    </row>
    <row r="57" spans="1:8" ht="45.7" customHeight="1" x14ac:dyDescent="0.3">
      <c r="A57" s="9">
        <v>56</v>
      </c>
      <c r="B57" s="10" t="s">
        <v>277</v>
      </c>
      <c r="C57" s="10" t="s">
        <v>236</v>
      </c>
      <c r="D57" s="9" t="s">
        <v>237</v>
      </c>
      <c r="E57" s="10" t="s">
        <v>278</v>
      </c>
      <c r="F57" s="10" t="s">
        <v>279</v>
      </c>
      <c r="G57" s="10" t="s">
        <v>280</v>
      </c>
      <c r="H57" s="10" t="s">
        <v>281</v>
      </c>
    </row>
    <row r="58" spans="1:8" ht="45.7" customHeight="1" x14ac:dyDescent="0.3">
      <c r="A58" s="7">
        <v>57</v>
      </c>
      <c r="B58" s="8" t="s">
        <v>282</v>
      </c>
      <c r="C58" s="8" t="s">
        <v>236</v>
      </c>
      <c r="D58" s="7" t="s">
        <v>237</v>
      </c>
      <c r="E58" s="8" t="s">
        <v>283</v>
      </c>
      <c r="F58" s="8" t="s">
        <v>284</v>
      </c>
      <c r="G58" s="8" t="s">
        <v>36</v>
      </c>
      <c r="H58" s="8" t="s">
        <v>285</v>
      </c>
    </row>
  </sheetData>
  <autoFilter ref="A1:H58" xr:uid="{00000000-0009-0000-0000-000001000000}"/>
  <pageMargins left="0.3" right="0.3" top="0.4" bottom="0.4"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showGridLines="0" zoomScaleNormal="100" workbookViewId="0">
      <selection activeCell="I20" sqref="I20"/>
    </sheetView>
  </sheetViews>
  <sheetFormatPr defaultColWidth="8.6640625" defaultRowHeight="15.05" x14ac:dyDescent="0.3"/>
  <cols>
    <col min="1" max="1" width="30" customWidth="1"/>
    <col min="2" max="2" width="20" customWidth="1"/>
  </cols>
  <sheetData>
    <row r="1" spans="1:3" ht="15.85" customHeight="1" x14ac:dyDescent="0.3">
      <c r="A1" s="2" t="s">
        <v>286</v>
      </c>
      <c r="B1" s="2"/>
      <c r="C1" s="2"/>
    </row>
    <row r="3" spans="1:3" ht="15.05" customHeight="1" x14ac:dyDescent="0.3">
      <c r="A3" s="1" t="s">
        <v>287</v>
      </c>
      <c r="B3" s="1"/>
    </row>
    <row r="4" spans="1:3" ht="15.05" customHeight="1" x14ac:dyDescent="0.3">
      <c r="A4" s="6" t="s">
        <v>288</v>
      </c>
      <c r="B4" s="6" t="s">
        <v>289</v>
      </c>
    </row>
    <row r="5" spans="1:3" ht="15.05" customHeight="1" x14ac:dyDescent="0.3">
      <c r="A5" s="11" t="s">
        <v>13</v>
      </c>
      <c r="B5" s="7">
        <f>COUNTIF('Test Case'!$C$2:$C$58,A5)</f>
        <v>17</v>
      </c>
    </row>
    <row r="6" spans="1:3" ht="15.05" customHeight="1" x14ac:dyDescent="0.3">
      <c r="A6" s="11" t="s">
        <v>99</v>
      </c>
      <c r="B6" s="7">
        <f>COUNTIF('Test Case'!$C$2:$C$58,A6)</f>
        <v>13</v>
      </c>
    </row>
    <row r="7" spans="1:3" ht="15.05" customHeight="1" x14ac:dyDescent="0.3">
      <c r="A7" s="11" t="s">
        <v>156</v>
      </c>
      <c r="B7" s="7">
        <f>COUNTIF('Test Case'!$C$2:$C$58,A7)</f>
        <v>17</v>
      </c>
    </row>
    <row r="8" spans="1:3" ht="15.05" customHeight="1" x14ac:dyDescent="0.3">
      <c r="A8" s="11" t="s">
        <v>236</v>
      </c>
      <c r="B8" s="7">
        <f>COUNTIF('Test Case'!$C$2:$C$58,A8)</f>
        <v>10</v>
      </c>
    </row>
    <row r="9" spans="1:3" ht="15.05" customHeight="1" x14ac:dyDescent="0.3">
      <c r="A9" s="12" t="s">
        <v>290</v>
      </c>
      <c r="B9" s="12">
        <f>SUM(B5:B8)</f>
        <v>57</v>
      </c>
    </row>
    <row r="11" spans="1:3" ht="15.05" customHeight="1" x14ac:dyDescent="0.3">
      <c r="A11" s="1" t="s">
        <v>291</v>
      </c>
      <c r="B11" s="1"/>
    </row>
    <row r="12" spans="1:3" ht="15.05" customHeight="1" x14ac:dyDescent="0.3">
      <c r="A12" s="6" t="s">
        <v>7</v>
      </c>
      <c r="B12" s="6" t="s">
        <v>289</v>
      </c>
    </row>
    <row r="13" spans="1:3" ht="15.05" customHeight="1" x14ac:dyDescent="0.3">
      <c r="A13" s="11" t="s">
        <v>14</v>
      </c>
      <c r="B13" s="7">
        <f>COUNTIF('Test Case'!$D$2:$D$58,A13)</f>
        <v>12</v>
      </c>
    </row>
    <row r="14" spans="1:3" ht="15.05" customHeight="1" x14ac:dyDescent="0.3">
      <c r="A14" s="11" t="s">
        <v>39</v>
      </c>
      <c r="B14" s="7">
        <f>COUNTIF('Test Case'!$D$2:$D$58,A14)</f>
        <v>11</v>
      </c>
    </row>
    <row r="15" spans="1:3" ht="15.05" customHeight="1" x14ac:dyDescent="0.3">
      <c r="A15" s="11" t="s">
        <v>58</v>
      </c>
      <c r="B15" s="7">
        <f>COUNTIF('Test Case'!$D$2:$D$58,A15)</f>
        <v>6</v>
      </c>
    </row>
    <row r="16" spans="1:3" ht="15.05" customHeight="1" x14ac:dyDescent="0.3">
      <c r="A16" s="11" t="s">
        <v>67</v>
      </c>
      <c r="B16" s="7">
        <f>COUNTIF('Test Case'!$D$2:$D$58,A16)</f>
        <v>11</v>
      </c>
    </row>
    <row r="17" spans="1:2" ht="15.05" customHeight="1" x14ac:dyDescent="0.3">
      <c r="A17" s="11" t="s">
        <v>88</v>
      </c>
      <c r="B17" s="7">
        <f>COUNTIF('Test Case'!$D$2:$D$58,A17)</f>
        <v>3</v>
      </c>
    </row>
    <row r="18" spans="1:2" ht="15.05" customHeight="1" x14ac:dyDescent="0.3">
      <c r="A18" s="11" t="s">
        <v>93</v>
      </c>
      <c r="B18" s="7">
        <f>COUNTIF('Test Case'!$D$2:$D$58,A18)</f>
        <v>4</v>
      </c>
    </row>
    <row r="19" spans="1:2" ht="15.05" customHeight="1" x14ac:dyDescent="0.3">
      <c r="A19" s="11" t="s">
        <v>237</v>
      </c>
      <c r="B19" s="7">
        <f>COUNTIF('Test Case'!$D$2:$D$58,A19)</f>
        <v>10</v>
      </c>
    </row>
    <row r="20" spans="1:2" ht="15.05" customHeight="1" x14ac:dyDescent="0.3">
      <c r="A20" s="12" t="s">
        <v>290</v>
      </c>
      <c r="B20" s="12">
        <f>SUM(B13:B19)</f>
        <v>57</v>
      </c>
    </row>
    <row r="22" spans="1:2" ht="15.05" customHeight="1" x14ac:dyDescent="0.3"/>
    <row r="23" spans="1:2" ht="15.05" customHeight="1" x14ac:dyDescent="0.3"/>
    <row r="24" spans="1:2" ht="15.05" customHeight="1" x14ac:dyDescent="0.3"/>
    <row r="25" spans="1:2" ht="15.05" customHeight="1" x14ac:dyDescent="0.3"/>
    <row r="26" spans="1:2" ht="15.05" customHeight="1" x14ac:dyDescent="0.3"/>
    <row r="27" spans="1:2" ht="15.05" customHeight="1" x14ac:dyDescent="0.3"/>
  </sheetData>
  <mergeCells count="3">
    <mergeCell ref="A1:C1"/>
    <mergeCell ref="A3:B3"/>
    <mergeCell ref="A11:B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Giới thiệu</vt:lpstr>
      <vt:lpstr>Test Case</vt:lpstr>
      <vt:lpstr>Tổng hợp</vt:lpstr>
      <vt:lpstr>'Test Case'!Print_Titles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Anh Nguyen</cp:lastModifiedBy>
  <cp:revision>0</cp:revision>
  <dcterms:created xsi:type="dcterms:W3CDTF">2026-08-01T11:58:20Z</dcterms:created>
  <dcterms:modified xsi:type="dcterms:W3CDTF">2026-08-03T01:21:53Z</dcterms:modified>
  <dc:language>en-US</dc:language>
</cp:coreProperties>
</file>